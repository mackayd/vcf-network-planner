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0e794e162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er rules" sheetId="1" r:id="Ree29c6906da04811"/>
    <x:sheet xmlns:r="http://schemas.openxmlformats.org/officeDocument/2006/relationships" name="Engineer guide" sheetId="2" r:id="R4d47d436d776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24354B"/>
      <x:name val="Arial"/>
    </x:font>
    <x:font>
      <x:b/>
      <x:sz val="16"/>
      <x:color rgb="FF24354B"/>
      <x:name val="Arial"/>
    </x:font>
    <x:font>
      <x:sz val="10"/>
      <x:color rgb="FF59687A"/>
      <x:name val="Arial"/>
    </x:font>
    <x:font>
      <x:b/>
      <x:sz val="10"/>
      <x:color rgb="FF24354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1CB"/>
      </x:patternFill>
    </x:fill>
    <x:fill>
      <x:patternFill patternType="solid">
        <x:fgColor rgb="FF2435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9D6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70bea21784418" /><Relationship Type="http://schemas.openxmlformats.org/officeDocument/2006/relationships/theme" Target="/xl/theme/theme1.xml" Id="Rd3ef7a6fbe574f6e" /><Relationship Type="http://schemas.openxmlformats.org/officeDocument/2006/relationships/sharedStrings" Target="/xl/sharedStrings.xml" Id="Raf351bfdc16b4084" /><Relationship Type="http://schemas.openxmlformats.org/officeDocument/2006/relationships/worksheet" Target="/xl/worksheets/sheet1.xml" Id="Ree29c6906da04811" /><Relationship Type="http://schemas.openxmlformats.org/officeDocument/2006/relationships/worksheet" Target="/xl/worksheets/sheet2.xml" Id="R4d47d436d77649c4" /></Relationships>
</file>

<file path=xl/tables/table1.xml><?xml version="1.0" encoding="utf-8"?>
<x:table xmlns:x="http://schemas.openxmlformats.org/spreadsheetml/2006/main" id="1" name="EngineerRules" displayName="EngineerRules" ref="A18:AD19" headerRowCount="1" totalsRowCount="0" totalsRowShown="0">
  <x:autoFilter ref="A18:AD19"/>
  <x:tableColumns count="30">
    <x:tableColumn id="1" name="Focus match"/>
    <x:tableColumn id="2" name="Work queue"/>
    <x:tableColumn id="3" name="Rule key"/>
    <x:tableColumn id="4" name="Rule ID"/>
    <x:tableColumn id="5" name="Domain"/>
    <x:tableColumn id="6" name="Cluster"/>
    <x:tableColumn id="7" name="Source role"/>
    <x:tableColumn id="8" name="Destination role"/>
    <x:tableColumn id="9" name="Protocol"/>
    <x:tableColumn id="10" name="Destination ports"/>
    <x:tableColumn id="11" name="Direction"/>
    <x:tableColumn id="12" name="Feature"/>
    <x:tableColumn id="13" name="Status"/>
    <x:tableColumn id="14" name="Source IP / FQDN objects"/>
    <x:tableColumn id="15" name="Destination IP / FQDN objects"/>
    <x:tableColumn id="16" name="Source networks"/>
    <x:tableColumn id="17" name="Destination networks"/>
    <x:tableColumn id="18" name="Purpose"/>
    <x:tableColumn id="19" name="Port review"/>
    <x:tableColumn id="20" name="Rule conditions"/>
    <x:tableColumn id="21" name="Source resources and addresses"/>
    <x:tableColumn id="22" name="Destination resources and addresses"/>
    <x:tableColumn id="23" name="Sources"/>
    <x:tableColumn id="24" name="Destinations"/>
    <x:tableColumn id="25" name="Binding class"/>
    <x:tableColumn id="26" name="Source scope key"/>
    <x:tableColumn id="27" name="Destination scope key"/>
    <x:tableColumn id="28" name="Source row"/>
    <x:tableColumn id="29" name="Touches component"/>
    <x:tableColumn id="30" name="Touches netwo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8786a8dde74d4c" /></Relationships>
</file>

<file path=xl/worksheets/sheet1.xml><?xml version="1.0" encoding="utf-8"?>
<x:worksheet xmlns:x="http://schemas.openxmlformats.org/spreadsheetml/2006/main">
  <x:sheetPr>
    <x:tabColor rgb="FF24354B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1" hidden="0" customWidth="1"/>
    <x:col min="4" max="4" width="14" hidden="0" customWidth="1"/>
    <x:col min="5" max="5" width="16" hidden="0" customWidth="1"/>
    <x:col min="6" max="6" width="12" hidden="0" customWidth="1"/>
    <x:col min="7" max="7" width="23" hidden="0" customWidth="1"/>
    <x:col min="8" max="8" width="23" hidden="0" customWidth="1"/>
    <x:col min="9" max="9" width="11" hidden="0" customWidth="1"/>
    <x:col min="10" max="10" width="19" hidden="0" customWidth="1"/>
    <x:col min="11" max="11" width="24" hidden="0" customWidth="1"/>
    <x:col min="12" max="12" width="22" hidden="0" customWidth="1"/>
    <x:col min="13" max="13" width="32" hidden="0" customWidth="1"/>
    <x:col min="14" max="14" width="44" hidden="0" customWidth="1"/>
    <x:col min="15" max="15" width="44" hidden="0" customWidth="1"/>
    <x:col min="16" max="16" width="24" hidden="0" customWidth="1"/>
    <x:col min="17" max="17" width="24" hidden="0" customWidth="1"/>
    <x:col min="18" max="18" width="52" hidden="0" customWidth="1"/>
    <x:col min="19" max="19" width="15" hidden="0" customWidth="1"/>
    <x:col min="20" max="20" width="80" hidden="0" customWidth="1"/>
    <x:col min="21" max="21" width="60" hidden="0" customWidth="1"/>
    <x:col min="22" max="22" width="60" hidden="0" customWidth="1"/>
    <x:col min="23" max="23" width="10" hidden="0" customWidth="1"/>
    <x:col min="24" max="24" width="12" hidden="0" customWidth="1"/>
    <x:col min="25" max="25" width="34" hidden="0" customWidth="1"/>
    <x:col min="26" max="26" width="34" hidden="0" customWidth="1"/>
    <x:col min="27" max="27" width="34" hidden="0" customWidth="1"/>
    <x:col min="28" max="28" width="12" hidden="0" customWidth="1"/>
    <x:col min="29" max="29" width="15" hidden="0" customWidth="1"/>
    <x:col min="30" max="30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6" customHeight="1">
      <x:c r="A2" s="3" t="str">
        <x:v>Firewall engineer worklist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6" t="str">
        <x:v>Generated from the Firewall matrix after seeding and recalculation. Status and rule conditions remain authoritative.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 t="str">
        <x:v>Component</x:v>
      </x:c>
      <x:c r="B5" s="2"/>
      <x:c r="C5" s="2"/>
      <x:c r="D5" s="2"/>
      <x:c r="E5" s="2" t="str">
        <x:v>Endpoint side</x:v>
      </x:c>
      <x:c r="F5" s="2"/>
      <x:c r="G5" s="2" t="str">
        <x:v>Network, either endpoint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/>
      <x:c r="B6" s="8" t="str">
        <x:v>All</x:v>
      </x:c>
      <x:c r="C6" s="2"/>
      <x:c r="D6" s="2"/>
      <x:c r="E6" s="8" t="str">
        <x:v>Both</x:v>
      </x:c>
      <x:c r="F6" s="2"/>
      <x:c r="G6" s="2"/>
      <x:c r="H6" s="8" t="str">
        <x:v>All</x:v>
      </x:c>
      <x:c r="I6" s="2"/>
      <x:c r="J6" s="2" t="str">
        <x:v>Source = outgoing. Destination = incoming. Bidirectional rules appear in both views.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 t="str">
        <x:v>Matching</x:v>
      </x:c>
      <x:c r="B7" s="2" t="n">
        <x:v>0</x:v>
      </x:c>
      <x:c r="C7" s="2" t="str">
        <x:v>Ready + Candidate + Review; excludes other filters</x:v>
      </x:c>
      <x:c r="D7" s="2"/>
      <x:c r="E7" s="2"/>
      <x:c r="F7" s="2"/>
      <x:c r="G7" s="2"/>
      <x:c r="H7" s="2"/>
      <x:c r="I7" s="2"/>
      <x:c r="J7" s="2" t="str">
        <x:v>Ready means ready for firewall review. Keep unresolved Review rows visible.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 t="str">
        <x:v>Visible rows</x:v>
      </x:c>
      <x:c r="B8" s="2" t="n">
        <x:v>0</x:v>
      </x:c>
      <x:c r="C8" s="2" t="str">
        <x:v>After changing a selector, open Focus match and reselect Yes. Slicers update immediately.</x:v>
      </x:c>
      <x:c r="D8" s="2"/>
      <x:c r="E8" s="2"/>
      <x:c r="F8" s="2"/>
      <x:c r="G8" s="2"/>
      <x:c r="H8" s="2"/>
      <x:c r="I8" s="2"/>
      <x:c r="J8" s="2" t="str">
        <x:v>After editing planner inputs, run Update-FirewallViews.ps1 on the saved workbook.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40" customHeight="1">
      <x:c r="A18" s="12" t="str">
        <x:v>Focus match</x:v>
      </x:c>
      <x:c r="B18" s="12" t="str">
        <x:v>Work queue</x:v>
      </x:c>
      <x:c r="C18" s="12" t="str">
        <x:v>Rule key</x:v>
      </x:c>
      <x:c r="D18" s="12" t="str">
        <x:v>Rule ID</x:v>
      </x:c>
      <x:c r="E18" s="12" t="str">
        <x:v>Domain</x:v>
      </x:c>
      <x:c r="F18" s="12" t="str">
        <x:v>Cluster</x:v>
      </x:c>
      <x:c r="G18" s="12" t="str">
        <x:v>Source role</x:v>
      </x:c>
      <x:c r="H18" s="12" t="str">
        <x:v>Destination role</x:v>
      </x:c>
      <x:c r="I18" s="12" t="str">
        <x:v>Protocol</x:v>
      </x:c>
      <x:c r="J18" s="12" t="str">
        <x:v>Destination ports</x:v>
      </x:c>
      <x:c r="K18" s="12" t="str">
        <x:v>Direction</x:v>
      </x:c>
      <x:c r="L18" s="12" t="str">
        <x:v>Feature</x:v>
      </x:c>
      <x:c r="M18" s="12" t="str">
        <x:v>Status</x:v>
      </x:c>
      <x:c r="N18" s="12" t="str">
        <x:v>Source IP / FQDN objects</x:v>
      </x:c>
      <x:c r="O18" s="12" t="str">
        <x:v>Destination IP / FQDN objects</x:v>
      </x:c>
      <x:c r="P18" s="12" t="str">
        <x:v>Source networks</x:v>
      </x:c>
      <x:c r="Q18" s="12" t="str">
        <x:v>Destination networks</x:v>
      </x:c>
      <x:c r="R18" s="12" t="str">
        <x:v>Purpose</x:v>
      </x:c>
      <x:c r="S18" s="12" t="str">
        <x:v>Port review</x:v>
      </x:c>
      <x:c r="T18" s="12" t="str">
        <x:v>Rule conditions</x:v>
      </x:c>
      <x:c r="U18" s="12" t="str">
        <x:v>Source resources and addresses</x:v>
      </x:c>
      <x:c r="V18" s="12" t="str">
        <x:v>Destination resources and addresses</x:v>
      </x:c>
      <x:c r="W18" s="12" t="str">
        <x:v>Sources</x:v>
      </x:c>
      <x:c r="X18" s="12" t="str">
        <x:v>Destinations</x:v>
      </x:c>
      <x:c r="Y18" s="12" t="str">
        <x:v>Binding class</x:v>
      </x:c>
      <x:c r="Z18" s="12" t="str">
        <x:v>Source scope key</x:v>
      </x:c>
      <x:c r="AA18" s="12" t="str">
        <x:v>Destination scope key</x:v>
      </x:c>
      <x:c r="AB18" s="12" t="str">
        <x:v>Source row</x:v>
      </x:c>
      <x:c r="AC18" s="12" t="str">
        <x:v>Touches component</x:v>
      </x:c>
      <x:c r="AD18" s="12" t="str">
        <x:v>Touches network</x:v>
      </x:c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</x:row>
  </x:sheetData>
  <x:dataValidations count="1">
    <x:dataValidation type="list" sqref="E6">
      <x:formula1>"Source,Destination,Both"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786a8dde74d4c"/>
  </x:tableParts>
</x:worksheet>
</file>

<file path=xl/worksheets/sheet2.xml><?xml version="1.0" encoding="utf-8"?>
<x:worksheet xmlns:x="http://schemas.openxmlformats.org/spreadsheetml/2006/main">
  <x:sheetPr>
    <x:tabColor rgb="FF8C929A"/>
  </x:sheetPr>
  <x:sheetViews>
    <x:sheetView showGridLines="0" workbookViewId="0"/>
  </x:sheetViews>
  <x:sheetFormatPr defaultRowHeight="15"/>
  <x:cols>
    <x:col min="1" max="1" width="35" hidden="0" customWidth="1"/>
    <x:col min="2" max="2" width="78" hidden="0" customWidth="1"/>
    <x:col min="3" max="3" width="65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5" hidden="0" customWidth="1"/>
    <x:col min="9" max="9" width="45" hidden="0" customWidth="1"/>
  </x:cols>
  <x:sheetData>
    <x:row r="1">
      <x:c r="A1" s="6" t="str">
        <x:v>View format</x:v>
      </x:c>
      <x:c r="B1" s="6" t="str">
        <x:v>VCF_ENGINEER_VIEWS_V1</x:v>
      </x:c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Using the engineer views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5"/>
      <x:c r="K3" s="5"/>
      <x:c r="L3" s="5"/>
    </x:row>
    <x:row r="4" ht="45" customHeight="1">
      <x:c r="A4" s="13" t="str">
        <x:v>After seeding</x:v>
      </x:c>
      <x:c r="B4" s="13" t="str">
        <x:v>The import command recalculates the planner, rebuilds the engineer worklist and reapplies the default filters before saving.</x:v>
      </x:c>
      <x:c r="C4" s="13"/>
      <x:c r="D4" s="2"/>
      <x:c r="E4" s="2"/>
      <x:c r="F4" s="2"/>
      <x:c r="G4" s="2"/>
      <x:c r="H4" s="2"/>
      <x:c r="I4" s="2"/>
    </x:row>
    <x:row r="5" ht="45" customHeight="1">
      <x:c r="A5" s="13" t="str">
        <x:v>After manual edits</x:v>
      </x:c>
      <x:c r="B5" s="13" t="str">
        <x:v>Save and close the planner. Run Update-FirewallViews.ps1 with -WorkbookPath and a new -OutputWorkbook. This regenerates the worklist from your saved inputs.</x:v>
      </x:c>
      <x:c r="C5" s="13"/>
      <x:c r="D5" s="2"/>
      <x:c r="E5" s="2"/>
      <x:c r="F5" s="2"/>
      <x:c r="G5" s="2"/>
      <x:c r="H5" s="2"/>
      <x:c r="I5" s="2"/>
    </x:row>
    <x:row r="6" ht="45" customHeight="1">
      <x:c r="A6" s="13" t="str">
        <x:v>Filter refresh</x:v>
      </x:c>
      <x:c r="B6" s="13" t="str">
        <x:v>After a yellow selector changes, open the Focus match filter and reselect Yes. Slicers update immediately. For changed planner inputs, use the refresh script.</x:v>
      </x:c>
      <x:c r="C6" s="13"/>
      <x:c r="D6" s="2"/>
      <x:c r="E6" s="2"/>
      <x:c r="F6" s="2"/>
      <x:c r="G6" s="2"/>
      <x:c r="H6" s="2"/>
      <x:c r="I6" s="2"/>
    </x:row>
    <x:row r="7" ht="28" customHeight="1">
      <x:c r="A7" s="13"/>
      <x:c r="B7" s="13"/>
      <x:c r="C7" s="13"/>
      <x:c r="D7" s="2"/>
      <x:c r="E7" s="2"/>
      <x:c r="F7" s="2"/>
      <x:c r="G7" s="2"/>
      <x:c r="H7" s="11" t="str">
        <x:v>Component selector values</x:v>
      </x:c>
      <x:c r="I7" s="11" t="str">
        <x:v>Network selector values</x:v>
      </x:c>
    </x:row>
    <x:row r="8" ht="28" customHeight="1">
      <x:c r="A8" s="11" t="str">
        <x:v>Work queue</x:v>
      </x:c>
      <x:c r="B8" s="11" t="str">
        <x:v>Context rows</x:v>
      </x:c>
      <x:c r="C8" s="11" t="str">
        <x:v>Meaning</x:v>
      </x:c>
      <x:c r="D8" s="2"/>
      <x:c r="E8" s="2"/>
      <x:c r="F8" s="2"/>
      <x:c r="G8" s="2"/>
      <x:c r="H8" s="2" t="str">
        <x:v>All</x:v>
      </x:c>
      <x:c r="I8" s="2" t="str">
        <x:v>All</x:v>
      </x:c>
    </x:row>
    <x:row r="9" ht="45" customHeight="1">
      <x:c r="A9" s="13" t="str">
        <x:v>Ready</x:v>
      </x:c>
      <x:c r="B9" s="15" t="n">
        <x:f>COUNTIFS(EngineerRules[Work queue],A9)</x:f>
        <x:v>0</x:v>
      </x:c>
      <x:c r="C9" s="13" t="str">
        <x:v>Exact status: Ready for firewall review. Engineering approval still applies.</x:v>
      </x:c>
      <x:c r="D9" s="2"/>
      <x:c r="E9" s="2"/>
      <x:c r="F9" s="2"/>
      <x:c r="G9" s="2"/>
      <x:c r="H9" s="2"/>
      <x:c r="I9" s="2"/>
    </x:row>
    <x:row r="10" ht="45" customHeight="1">
      <x:c r="A10" s="13" t="str">
        <x:v>Candidate</x:v>
      </x:c>
      <x:c r="B10" s="15" t="n">
        <x:f>COUNTIFS(EngineerRules[Work queue],A10)</x:f>
        <x:v>0</x:v>
      </x:c>
      <x:c r="C10" s="13" t="str">
        <x:v>Example only. Ports and deployment context still require review.</x:v>
      </x:c>
      <x:c r="D10" s="2"/>
      <x:c r="E10" s="2"/>
      <x:c r="F10" s="2"/>
      <x:c r="G10" s="2"/>
      <x:c r="H10" s="2"/>
      <x:c r="I10" s="2"/>
    </x:row>
    <x:row r="11" ht="45" customHeight="1">
      <x:c r="A11" s="13" t="str">
        <x:v>Review</x:v>
      </x:c>
      <x:c r="B11" s="15" t="n">
        <x:f>COUNTIFS(EngineerRules[Work queue],A11)</x:f>
        <x:v>0</x:v>
      </x:c>
      <x:c r="C11" s="13" t="str">
        <x:v>Unresolved inputs, endpoint/design/catalogue/binding checks, or an unrecognised status.</x:v>
      </x:c>
      <x:c r="D11" s="2"/>
      <x:c r="E11" s="2"/>
      <x:c r="F11" s="2"/>
      <x:c r="G11" s="2"/>
      <x:c r="H11" s="2"/>
      <x:c r="I11" s="2"/>
    </x:row>
    <x:row r="12" ht="45" customHeight="1">
      <x:c r="A12" s="13" t="str">
        <x:v>Not applicable</x:v>
      </x:c>
      <x:c r="B12" s="15" t="n">
        <x:f>COUNTIFS(EngineerRules[Work queue],A12)</x:f>
        <x:v>0</x:v>
      </x:c>
      <x:c r="C12" s="13" t="str">
        <x:v>Only the four explicit inactive states: unused context, feature/binding mismatch, management-only or no peer pair.</x:v>
      </x:c>
      <x:c r="D12" s="2"/>
      <x:c r="E12" s="2"/>
      <x:c r="F12" s="2"/>
      <x:c r="G12" s="2"/>
      <x:c r="H12" s="2"/>
      <x:c r="I12" s="2"/>
    </x:row>
    <x:row r="13" ht="45" customHeight="1">
      <x:c r="A13" s="13" t="str">
        <x:v>Excluded</x:v>
      </x:c>
      <x:c r="B13" s="15" t="n">
        <x:f>COUNTIFS(EngineerRules[Work queue],A13)</x:f>
        <x:v>0</x:v>
      </x:c>
      <x:c r="C13" s="13" t="str">
        <x:v>Explicitly excluded in the source matrix.</x:v>
      </x:c>
      <x:c r="D13" s="2"/>
      <x:c r="E13" s="2"/>
      <x:c r="F13" s="2"/>
      <x:c r="G13" s="2"/>
      <x:c r="H13" s="2"/>
      <x:c r="I13" s="2"/>
    </x:row>
    <x:row r="14" ht="45" customHeight="1">
      <x:c r="A14" s="13"/>
      <x:c r="B14" s="13"/>
      <x:c r="C14" s="13"/>
      <x:c r="D14" s="2"/>
      <x:c r="E14" s="2"/>
      <x:c r="F14" s="2"/>
      <x:c r="G14" s="2"/>
      <x:c r="H14" s="2"/>
      <x:c r="I14" s="2"/>
    </x:row>
    <x:row r="15" ht="45" customHeight="1">
      <x:c r="A15" s="13" t="str">
        <x:v>Default selection</x:v>
      </x:c>
      <x:c r="B15" s="13" t="str">
        <x:v>Ready, Candidate and Review. All source rows remain available. Refresh resets component/network to All and endpoint side to Both.</x:v>
      </x:c>
      <x:c r="C15" s="13"/>
      <x:c r="D15" s="2"/>
      <x:c r="E15" s="2"/>
      <x:c r="F15" s="2"/>
      <x:c r="G15" s="2"/>
      <x:c r="H15" s="2"/>
      <x:c r="I15" s="2"/>
    </x:row>
    <x:row r="16" ht="45" customHeight="1">
      <x:c r="A16" s="13" t="str">
        <x:v>Endpoint side</x:v>
      </x:c>
      <x:c r="B16" s="13" t="str">
        <x:v>Source shows outgoing initiation; Destination shows incoming initiation. Bidirectional rules match both directions, including when the selected component is listed on the opposite side. Both shows each matching row once.</x:v>
      </x:c>
      <x:c r="C16" s="13"/>
      <x:c r="D16" s="2"/>
      <x:c r="E16" s="2"/>
      <x:c r="F16" s="2"/>
      <x:c r="G16" s="2"/>
      <x:c r="H16" s="2"/>
      <x:c r="I16" s="2"/>
    </x:row>
    <x:row r="17" ht="45" customHeight="1">
      <x:c r="A17" s="13"/>
      <x:c r="B17" s="13"/>
      <x:c r="C17" s="13"/>
      <x:c r="D17" s="2"/>
      <x:c r="E17" s="2"/>
      <x:c r="F17" s="2"/>
      <x:c r="G17" s="2"/>
      <x:c r="H17" s="2"/>
      <x:c r="I17" s="2"/>
    </x:row>
    <x:row r="18" ht="32" customHeight="1">
      <x:c r="A18" s="13" t="str">
        <x:v>Last refreshed (UTC)</x:v>
      </x:c>
      <x:c r="B18" s="13" t="str">
        <x:v>Not refreshed</x:v>
      </x:c>
      <x:c r="C18" s="13"/>
      <x:c r="D18" s="2"/>
      <x:c r="E18" s="2"/>
      <x:c r="F18" s="2"/>
      <x:c r="G18" s="2"/>
      <x:c r="H18" s="2"/>
      <x:c r="I18" s="2"/>
    </x:row>
    <x:row r="19" ht="32" customHeight="1">
      <x:c r="A19" s="13" t="str">
        <x:v>Source workbook</x:v>
      </x:c>
      <x:c r="B19" s="13" t="str">
        <x:v>Not refreshed</x:v>
      </x:c>
      <x:c r="C19" s="13"/>
      <x:c r="D19" s="2"/>
      <x:c r="E19" s="2"/>
      <x:c r="F19" s="2"/>
      <x:c r="G19" s="2"/>
      <x:c r="H19" s="2"/>
      <x:c r="I19" s="2"/>
    </x:row>
    <x:row r="20" ht="32" customHeight="1">
      <x:c r="A20" s="13" t="str">
        <x:v>Matrix fingerprint</x:v>
      </x:c>
      <x:c r="B20" s="13" t="str">
        <x:v>Not refreshed</x:v>
      </x:c>
      <x:c r="C20" s="13"/>
      <x:c r="D20" s="2"/>
      <x:c r="E20" s="2"/>
      <x:c r="F20" s="2"/>
      <x:c r="G20" s="2"/>
      <x:c r="H20" s="2"/>
      <x:c r="I20" s="2"/>
    </x:row>
    <x:row r="21" ht="32" customHeight="1">
      <x:c r="A21" s="13" t="str">
        <x:v>Verification</x:v>
      </x:c>
      <x:c r="B21" s="13" t="str">
        <x:v>Not refreshed</x:v>
      </x:c>
      <x:c r="C21" s="13"/>
      <x:c r="D21" s="2"/>
      <x:c r="E21" s="2"/>
      <x:c r="F21" s="2"/>
      <x:c r="G21" s="2"/>
      <x:c r="H21" s="2"/>
      <x:c r="I21" s="2"/>
    </x:row>
    <x:row r="22" ht="45" customHeight="1">
      <x:c r="A22" s="13"/>
      <x:c r="B22" s="13"/>
      <x:c r="C22" s="13"/>
      <x:c r="D22" s="2"/>
      <x:c r="E22" s="2"/>
      <x:c r="F22" s="2"/>
      <x:c r="G22" s="2"/>
      <x:c r="H22" s="2"/>
      <x:c r="I22" s="2"/>
    </x:row>
    <x:row r="23" ht="45" customHeight="1">
      <x:c r="A23" s="13" t="str">
        <x:v>Rule details</x:v>
      </x:c>
      <x:c r="B23" s="13" t="str">
        <x:v>Purpose, review status and conditions remain in columns R:T. Scroll right for endpoint descriptions, counts and binding keys. Only technical focus helpers are hidden.</x:v>
      </x:c>
      <x:c r="C23" s="13"/>
      <x:c r="D23" s="2"/>
      <x:c r="E23" s="2"/>
      <x:c r="F23" s="2"/>
      <x:c r="G23" s="2"/>
      <x:c r="H23" s="2"/>
      <x:c r="I23" s="2"/>
    </x:row>
    <x:row r="24" ht="45" customHeight="1">
      <x:c r="A24" s="13" t="str">
        <x:v>Rule context</x:v>
      </x:c>
      <x:c r="B24" s="13" t="str">
        <x:v>Domain and cluster identify evaluation context. They are not the separate source/destination owner or the cluster hosting an appliance.</x:v>
      </x:c>
      <x:c r="C24" s="13"/>
      <x:c r="D24" s="2"/>
      <x:c r="E24" s="2"/>
      <x:c r="F24" s="2"/>
      <x:c r="G24" s="2"/>
      <x:c r="H24" s="2"/>
      <x:c r="I24" s="2"/>
    </x:row>
    <x:row r="25" ht="45" customHeight="1">
      <x:c r="A25" s="13" t="str">
        <x:v>Network focus</x:v>
      </x:c>
      <x:c r="B25" s="13" t="str">
        <x:v>The network selector matches an entire network key on either side. A match retains the complete rule and endpoint groups.</x:v>
      </x:c>
      <x:c r="C25" s="13"/>
      <x:c r="D25" s="2"/>
      <x:c r="E25" s="2"/>
      <x:c r="F25" s="2"/>
      <x:c r="G25" s="2"/>
      <x:c r="H25" s="2"/>
      <x:c r="I25" s="2"/>
    </x:row>
    <x:row r="26" ht="45" customHeight="1">
      <x:c r="A26" s="13" t="str">
        <x:v>Shared services</x:v>
      </x:c>
      <x:c r="B26" s="13" t="str">
        <x:v>A rule can repeat across contexts. Preserve its conditions and lineage. Do not interpret context counts as unique firewall commands.</x:v>
      </x:c>
      <x:c r="C26" s="13"/>
      <x:c r="D26" s="2"/>
      <x:c r="E26" s="2"/>
      <x:c r="F26" s="2"/>
      <x:c r="G26" s="2"/>
      <x:c r="H26" s="2"/>
      <x:c r="I26" s="2"/>
    </x:row>
    <x:row r="27" ht="45" customHeight="1">
      <x:c r="A27" s="13" t="str">
        <x:v>Direction</x:v>
      </x:c>
      <x:c r="B27" s="13" t="str">
        <x:v>The endpoint-side filter does not swap the listed source/destination objects. Bidirectional rows appear in both views without duplication. Peer flows exclude self; established return traffic is separate from initiation.</x:v>
      </x:c>
      <x:c r="C27" s="13"/>
      <x:c r="D27" s="2"/>
      <x:c r="E27" s="2"/>
      <x:c r="F27" s="2"/>
      <x:c r="G27" s="2"/>
      <x:c r="H27" s="2"/>
      <x:c r="I27" s="2"/>
    </x:row>
    <x:row r="28" ht="45" customHeight="1">
      <x:c r="A28" s="13" t="str">
        <x:v>Firewall device selection</x:v>
      </x:c>
      <x:c r="B28" s="13" t="str">
        <x:v>Filtering for a particular firewall needs explicit network-to-security-zone and firewall-owner mappings. VLAN or routing domain alone does not identify the enforcement point.</x:v>
      </x:c>
      <x:c r="C28" s="13"/>
      <x:c r="D28" s="2"/>
      <x:c r="E28" s="2"/>
      <x:c r="F28" s="2"/>
      <x:c r="G28" s="2"/>
      <x:c r="H28" s="2"/>
      <x:c r="I28" s="2"/>
    </x:row>
    <x:row r="29" ht="45" customHeight="1">
      <x:c r="A29" s="13" t="str">
        <x:v>Generated sheets</x:v>
      </x:c>
      <x:c r="B29" s="13" t="str">
        <x:v>Engineer rules and this guide are regenerated views. Enter deployment data on the existing planner input sheets; edits to these generated sheets are replaced on refresh.</x:v>
      </x:c>
      <x:c r="C29" s="13"/>
      <x:c r="D29" s="2"/>
      <x:c r="E29" s="2"/>
      <x:c r="F29" s="2"/>
      <x:c r="G29" s="2"/>
      <x:c r="H29" s="2"/>
      <x:c r="I29" s="2"/>
    </x:row>
    <x:row r="30" ht="45" customHeight="1">
      <x:c r="A30" s="13" t="str">
        <x:v>Protection</x:v>
      </x:c>
      <x:c r="B30" s="13" t="str">
        <x:v>All sheets and the workbook structure remain protected. The component, endpoint-side and network selectors are editable; all formulas remain locked.</x:v>
      </x:c>
      <x:c r="C30" s="13"/>
      <x:c r="D30" s="2"/>
      <x:c r="E30" s="2"/>
      <x:c r="F30" s="2"/>
      <x:c r="G30" s="2"/>
      <x:c r="H30" s="2"/>
      <x:c r="I30" s="2"/>
    </x:row>
    <x:row r="31" ht="45" customHeight="1">
      <x:c r="A31" s="13"/>
      <x:c r="B31" s="13"/>
      <x:c r="C31" s="13"/>
      <x:c r="D31" s="2"/>
      <x:c r="E31" s="2"/>
      <x:c r="F31" s="2"/>
      <x:c r="G31" s="2"/>
      <x:c r="H31" s="2"/>
      <x:c r="I31" s="2"/>
    </x:row>
    <x:row r="32" ht="45" customHeight="1">
      <x:c r="A32" s="13"/>
      <x:c r="B32" s="13"/>
      <x:c r="C32" s="13"/>
      <x:c r="D32" s="2"/>
      <x:c r="E32" s="2"/>
      <x:c r="F32" s="2"/>
      <x:c r="G32" s="2"/>
      <x:c r="H32" s="2"/>
      <x:c r="I32" s="2"/>
    </x:row>
    <x:row r="33" ht="45" customHeight="1">
      <x:c r="A33" s="13" t="str">
        <x:v>Microsoft slicer reference</x:v>
      </x:c>
      <x:c r="B33" s="13" t="str">
        <x:v>https://support.microsoft.com/en-US/Excel/get-started/use-slicers-to-filter-data</x:v>
      </x:c>
      <x:c r="C33" s="13"/>
      <x:c r="D33" s="2"/>
      <x:c r="E33" s="2"/>
      <x:c r="F33" s="2"/>
      <x:c r="G33" s="2"/>
      <x:c r="H33" s="2"/>
      <x:c r="I33" s="2"/>
    </x:row>
    <x:row r="34" ht="45" customHeight="1">
      <x:c r="A34" s="13" t="str">
        <x:v>Worksheet filter reference</x:v>
      </x:c>
      <x:c r="B34" s="13" t="str">
        <x:v>https://support.microsoft.com/en-us/excel/protect-a-worksheet</x:v>
      </x:c>
      <x:c r="C34" s="13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pageMargins left="0.7" right="0.7" top="0.75" bottom="0.75" header="0.3" footer="0.3"/>
</x:worksheet>
</file>